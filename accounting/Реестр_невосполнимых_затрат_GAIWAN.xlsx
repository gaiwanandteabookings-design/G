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Сводка по категори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$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color rgb="002E7D5B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F4B7C"/>
      </patternFill>
    </fill>
    <fill>
      <patternFill patternType="solid">
        <fgColor rgb="00EAF0F8"/>
      </patternFill>
    </fill>
  </fills>
  <borders count="3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top style="double">
        <color rgb="002E7D5B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64" fontId="3" fillId="0" borderId="2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3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58" customWidth="1" min="4" max="4"/>
    <col width="14" customWidth="1" min="5" max="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Категория</t>
        </is>
      </c>
      <c r="D1" s="1" t="inlineStr">
        <is>
          <t>Номер документа / Описание</t>
        </is>
      </c>
      <c r="E1" s="1" t="inlineStr">
        <is>
          <t>Сумма, $</t>
        </is>
      </c>
    </row>
    <row r="2">
      <c r="A2" s="2" t="n">
        <v>1</v>
      </c>
      <c r="B2" s="2" t="inlineStr">
        <is>
          <t>—</t>
        </is>
      </c>
      <c r="C2" s="2" t="inlineStr">
        <is>
          <t>Аренда</t>
        </is>
      </c>
      <c r="D2" s="3" t="inlineStr">
        <is>
          <t>Депозит + первый месяц (Lease Agreement)</t>
        </is>
      </c>
      <c r="E2" s="4" t="n">
        <v>6943</v>
      </c>
    </row>
    <row r="3">
      <c r="A3" s="5" t="n">
        <v>2</v>
      </c>
      <c r="B3" s="5" t="inlineStr">
        <is>
          <t>—</t>
        </is>
      </c>
      <c r="C3" s="5" t="inlineStr">
        <is>
          <t>Аренда</t>
        </is>
      </c>
      <c r="D3" s="6" t="inlineStr">
        <is>
          <t>Аренда за весь срок (54 месяца) — имеются копии банковских чеков</t>
        </is>
      </c>
      <c r="E3" s="7" t="n">
        <v>54000</v>
      </c>
    </row>
    <row r="4">
      <c r="A4" s="2" t="n">
        <v>3</v>
      </c>
      <c r="B4" s="2" t="inlineStr">
        <is>
          <t>—</t>
        </is>
      </c>
      <c r="C4" s="2" t="inlineStr">
        <is>
          <t>Электричество (FPL)</t>
        </is>
      </c>
      <c r="D4" s="3" t="inlineStr">
        <is>
          <t>Депозит за подключение</t>
        </is>
      </c>
      <c r="E4" s="4" t="n">
        <v>400</v>
      </c>
    </row>
    <row r="5">
      <c r="A5" s="5" t="n">
        <v>4</v>
      </c>
      <c r="B5" s="5" t="inlineStr">
        <is>
          <t>—</t>
        </is>
      </c>
      <c r="C5" s="5" t="inlineStr">
        <is>
          <t>Электричество (FPL)</t>
        </is>
      </c>
      <c r="D5" s="6" t="inlineStr">
        <is>
          <t>Ежемесячные платежи (18 мес. × ~$200)</t>
        </is>
      </c>
      <c r="E5" s="7" t="n">
        <v>3600</v>
      </c>
    </row>
    <row r="6">
      <c r="A6" s="2" t="n">
        <v>5</v>
      </c>
      <c r="B6" s="2" t="inlineStr">
        <is>
          <t>—</t>
        </is>
      </c>
      <c r="C6" s="2" t="inlineStr">
        <is>
          <t>Мебель и оборудование</t>
        </is>
      </c>
      <c r="D6" s="3" t="inlineStr">
        <is>
          <t>Полный комплект мебели (основной заказ)</t>
        </is>
      </c>
      <c r="E6" s="4" t="n">
        <v>11400</v>
      </c>
    </row>
    <row r="7">
      <c r="A7" s="5" t="n">
        <v>6</v>
      </c>
      <c r="B7" s="5" t="inlineStr">
        <is>
          <t>—</t>
        </is>
      </c>
      <c r="C7" s="5" t="inlineStr">
        <is>
          <t>Мебель и оборудование</t>
        </is>
      </c>
      <c r="D7" s="6" t="inlineStr">
        <is>
          <t>Центральная барная стойка (своими руками)</t>
        </is>
      </c>
      <c r="E7" s="7" t="n">
        <v>1500</v>
      </c>
    </row>
    <row r="8">
      <c r="A8" s="2" t="n">
        <v>7</v>
      </c>
      <c r="B8" s="2" t="inlineStr">
        <is>
          <t>19.02.2026</t>
        </is>
      </c>
      <c r="C8" s="2" t="inlineStr">
        <is>
          <t>Мебель и оборудование</t>
        </is>
      </c>
      <c r="D8" s="3" t="inlineStr">
        <is>
          <t>IKEA BESTÅ комплектующие (Picking List)</t>
        </is>
      </c>
      <c r="E8" s="4" t="n">
        <v>450</v>
      </c>
    </row>
    <row r="9">
      <c r="A9" s="5" t="n">
        <v>8</v>
      </c>
      <c r="B9" s="5" t="inlineStr">
        <is>
          <t>—</t>
        </is>
      </c>
      <c r="C9" s="5" t="inlineStr">
        <is>
          <t>Мебель и оборудование</t>
        </is>
      </c>
      <c r="D9" s="6" t="inlineStr">
        <is>
          <t>Стол + 7 стульев</t>
        </is>
      </c>
      <c r="E9" s="7" t="n">
        <v>455</v>
      </c>
    </row>
    <row r="10">
      <c r="A10" s="2" t="n">
        <v>9</v>
      </c>
      <c r="B10" s="2" t="inlineStr">
        <is>
          <t>—</t>
        </is>
      </c>
      <c r="C10" s="2" t="inlineStr">
        <is>
          <t>Мебель и оборудование</t>
        </is>
      </c>
      <c r="D10" s="3" t="inlineStr">
        <is>
          <t>Сборка мебели (услуги установщика)</t>
        </is>
      </c>
      <c r="E10" s="4" t="n">
        <v>1400</v>
      </c>
    </row>
    <row r="11">
      <c r="A11" s="5" t="n">
        <v>10</v>
      </c>
      <c r="B11" s="5" t="inlineStr">
        <is>
          <t>03.12.2024</t>
        </is>
      </c>
      <c r="C11" s="5" t="inlineStr">
        <is>
          <t>Оборудование</t>
        </is>
      </c>
      <c r="D11" s="6" t="inlineStr">
        <is>
          <t>Кондиционер + установка (чек #1362)</t>
        </is>
      </c>
      <c r="E11" s="7" t="n">
        <v>1420</v>
      </c>
    </row>
    <row r="12">
      <c r="A12" s="2" t="n">
        <v>11</v>
      </c>
      <c r="B12" s="2" t="inlineStr">
        <is>
          <t>22.04.2022</t>
        </is>
      </c>
      <c r="C12" s="2" t="inlineStr">
        <is>
          <t>Оборудование</t>
        </is>
      </c>
      <c r="D12" s="3" t="inlineStr">
        <is>
          <t>Водонагреватель безбачный (Invoice #148784)</t>
        </is>
      </c>
      <c r="E12" s="4" t="n">
        <v>240.75</v>
      </c>
    </row>
    <row r="13">
      <c r="A13" s="5" t="n">
        <v>12</v>
      </c>
      <c r="B13" s="5" t="inlineStr">
        <is>
          <t>15.03.2026</t>
        </is>
      </c>
      <c r="C13" s="5" t="inlineStr">
        <is>
          <t>Оборудование</t>
        </is>
      </c>
      <c r="D13" s="6" t="inlineStr">
        <is>
          <t>Ледогенератор коммерческий (Order #CTCCF7VBPA)</t>
        </is>
      </c>
      <c r="E13" s="7" t="n">
        <v>291.76</v>
      </c>
    </row>
    <row r="14">
      <c r="A14" s="2" t="n">
        <v>13</v>
      </c>
      <c r="B14" s="2" t="inlineStr">
        <is>
          <t>19.03.2025</t>
        </is>
      </c>
      <c r="C14" s="2" t="inlineStr">
        <is>
          <t>Освещение</t>
        </is>
      </c>
      <c r="D14" s="3" t="inlineStr">
        <is>
          <t>Светильники и комплектующие (Specialty Lighting)</t>
        </is>
      </c>
      <c r="E14" s="4" t="n">
        <v>1879</v>
      </c>
    </row>
    <row r="15">
      <c r="A15" s="5" t="n">
        <v>14</v>
      </c>
      <c r="B15" s="5" t="inlineStr">
        <is>
          <t>28.03.2025</t>
        </is>
      </c>
      <c r="C15" s="5" t="inlineStr">
        <is>
          <t>Освещение</t>
        </is>
      </c>
      <c r="D15" s="6" t="inlineStr">
        <is>
          <t>Светильники (Specialty Lighting, Order #46705)</t>
        </is>
      </c>
      <c r="E15" s="7" t="n">
        <v>914.28</v>
      </c>
    </row>
    <row r="16">
      <c r="A16" s="2" t="n">
        <v>15</v>
      </c>
      <c r="B16" s="2" t="inlineStr">
        <is>
          <t>20.03.2024</t>
        </is>
      </c>
      <c r="C16" s="2" t="inlineStr">
        <is>
          <t>Ремонт и отделка</t>
        </is>
      </c>
      <c r="D16" s="3" t="inlineStr">
        <is>
          <t>Электрика, гипсокартон, отделка (Alexcom INV0283)</t>
        </is>
      </c>
      <c r="E16" s="4" t="n">
        <v>8830</v>
      </c>
    </row>
    <row r="17">
      <c r="A17" s="5" t="n">
        <v>16</v>
      </c>
      <c r="B17" s="5" t="inlineStr">
        <is>
          <t>—</t>
        </is>
      </c>
      <c r="C17" s="5" t="inlineStr">
        <is>
          <t>Ремонт и отделка</t>
        </is>
      </c>
      <c r="D17" s="6" t="inlineStr">
        <is>
          <t>Пол (материалы + работы)</t>
        </is>
      </c>
      <c r="E17" s="7" t="n">
        <v>3000</v>
      </c>
    </row>
    <row r="18">
      <c r="A18" s="2" t="n">
        <v>17</v>
      </c>
      <c r="B18" s="2" t="inlineStr">
        <is>
          <t>02.04.2024</t>
        </is>
      </c>
      <c r="C18" s="2" t="inlineStr">
        <is>
          <t>Ремонт и отделка</t>
        </is>
      </c>
      <c r="D18" s="3" t="inlineStr">
        <is>
          <t>Материалы Home Depot</t>
        </is>
      </c>
      <c r="E18" s="4" t="n">
        <v>383.58</v>
      </c>
    </row>
    <row r="19">
      <c r="A19" s="5" t="n">
        <v>18</v>
      </c>
      <c r="B19" s="5" t="inlineStr">
        <is>
          <t>01.04.2024</t>
        </is>
      </c>
      <c r="C19" s="5" t="inlineStr">
        <is>
          <t>Ремонт и отделка</t>
        </is>
      </c>
      <c r="D19" s="6" t="inlineStr">
        <is>
          <t>Инструменты Home Depot (лобзик и др.)</t>
        </is>
      </c>
      <c r="E19" s="7" t="n">
        <v>448.28</v>
      </c>
    </row>
    <row r="20">
      <c r="A20" s="2" t="n">
        <v>19</v>
      </c>
      <c r="B20" s="2" t="inlineStr">
        <is>
          <t>31.05.2024</t>
        </is>
      </c>
      <c r="C20" s="2" t="inlineStr">
        <is>
          <t>Ремонт и отделка</t>
        </is>
      </c>
      <c r="D20" s="3" t="inlineStr">
        <is>
          <t>Материалы Home Depot</t>
        </is>
      </c>
      <c r="E20" s="4" t="n">
        <v>148.73</v>
      </c>
    </row>
    <row r="21">
      <c r="A21" s="5" t="n">
        <v>20</v>
      </c>
      <c r="B21" s="5" t="inlineStr">
        <is>
          <t>08.06.2024</t>
        </is>
      </c>
      <c r="C21" s="5" t="inlineStr">
        <is>
          <t>Ремонт и отделка</t>
        </is>
      </c>
      <c r="D21" s="6" t="inlineStr">
        <is>
          <t>Материалы и инструменты Home Depot</t>
        </is>
      </c>
      <c r="E21" s="7" t="n">
        <v>376.78</v>
      </c>
    </row>
    <row r="22">
      <c r="A22" s="2" t="n">
        <v>21</v>
      </c>
      <c r="B22" s="2" t="inlineStr">
        <is>
          <t>10.03.2025</t>
        </is>
      </c>
      <c r="C22" s="2" t="inlineStr">
        <is>
          <t>Ремонт и отделка</t>
        </is>
      </c>
      <c r="D22" s="3" t="inlineStr">
        <is>
          <t>Материалы Home Depot</t>
        </is>
      </c>
      <c r="E22" s="4" t="n">
        <v>211.16</v>
      </c>
    </row>
    <row r="23">
      <c r="A23" s="5" t="n">
        <v>22</v>
      </c>
      <c r="B23" s="5" t="inlineStr">
        <is>
          <t>18.03.2025</t>
        </is>
      </c>
      <c r="C23" s="5" t="inlineStr">
        <is>
          <t>Ремонт и отделка</t>
        </is>
      </c>
      <c r="D23" s="6" t="inlineStr">
        <is>
          <t>Материалы и светильники Home Depot</t>
        </is>
      </c>
      <c r="E23" s="7" t="n">
        <v>819.4400000000001</v>
      </c>
    </row>
    <row r="24">
      <c r="A24" s="2" t="n">
        <v>23</v>
      </c>
      <c r="B24" s="2" t="inlineStr">
        <is>
          <t>18.03.2025</t>
        </is>
      </c>
      <c r="C24" s="2" t="inlineStr">
        <is>
          <t>Ремонт и отделка</t>
        </is>
      </c>
      <c r="D24" s="3" t="inlineStr">
        <is>
          <t>Расходники Silver Paint &amp; Hardware</t>
        </is>
      </c>
      <c r="E24" s="4" t="n">
        <v>40.32</v>
      </c>
    </row>
    <row r="25">
      <c r="A25" s="5" t="n">
        <v>24</v>
      </c>
      <c r="B25" s="5" t="inlineStr">
        <is>
          <t>19.03.2025</t>
        </is>
      </c>
      <c r="C25" s="5" t="inlineStr">
        <is>
          <t>Ремонт и отделка</t>
        </is>
      </c>
      <c r="D25" s="6" t="inlineStr">
        <is>
          <t>Декоративное покрытие Travertino (DecoFinish #23776)</t>
        </is>
      </c>
      <c r="E25" s="7" t="n">
        <v>133.05</v>
      </c>
    </row>
    <row r="26">
      <c r="A26" s="2" t="n">
        <v>25</v>
      </c>
      <c r="B26" s="2" t="inlineStr">
        <is>
          <t>18.03.2025</t>
        </is>
      </c>
      <c r="C26" s="2" t="inlineStr">
        <is>
          <t>Ремонт и отделка</t>
        </is>
      </c>
      <c r="D26" s="3" t="inlineStr">
        <is>
          <t>Декоративное покрытие Travertino (DecoFinish #23773)</t>
        </is>
      </c>
      <c r="E26" s="4" t="n">
        <v>443.78</v>
      </c>
    </row>
    <row r="27">
      <c r="A27" s="5" t="n">
        <v>26</v>
      </c>
      <c r="B27" s="5" t="inlineStr">
        <is>
          <t>21.02.2025</t>
        </is>
      </c>
      <c r="C27" s="5" t="inlineStr">
        <is>
          <t>Лицензии и разрешения</t>
        </is>
      </c>
      <c r="D27" s="6" t="inlineStr">
        <is>
          <t>Бизнес-лицензия + сборы (Invoice #00518570)</t>
        </is>
      </c>
      <c r="E27" s="7" t="n">
        <v>1343</v>
      </c>
    </row>
    <row r="28">
      <c r="A28" s="2" t="n">
        <v>27</v>
      </c>
      <c r="B28" s="2" t="inlineStr">
        <is>
          <t>—</t>
        </is>
      </c>
      <c r="C28" s="2" t="inlineStr">
        <is>
          <t>Брендинг и маркетинг</t>
        </is>
      </c>
      <c r="D28" s="3" t="inlineStr">
        <is>
          <t>Разработка сайта</t>
        </is>
      </c>
      <c r="E28" s="4" t="n">
        <v>1000</v>
      </c>
    </row>
    <row r="29">
      <c r="A29" s="5" t="n">
        <v>28</v>
      </c>
      <c r="B29" s="5" t="inlineStr">
        <is>
          <t>—</t>
        </is>
      </c>
      <c r="C29" s="5" t="inlineStr">
        <is>
          <t>Брендинг и маркетинг</t>
        </is>
      </c>
      <c r="D29" s="6" t="inlineStr">
        <is>
          <t>Логотип + брендбук (дизайнер)</t>
        </is>
      </c>
      <c r="E29" s="7" t="n">
        <v>1200</v>
      </c>
    </row>
    <row r="30">
      <c r="A30" s="2" t="n">
        <v>29</v>
      </c>
      <c r="B30" s="2" t="inlineStr">
        <is>
          <t>—</t>
        </is>
      </c>
      <c r="C30" s="2" t="inlineStr">
        <is>
          <t>Брендинг и маркетинг</t>
        </is>
      </c>
      <c r="D30" s="3" t="inlineStr">
        <is>
          <t>Наклейка с логотипом на стекло</t>
        </is>
      </c>
      <c r="E30" s="4" t="n">
        <v>250</v>
      </c>
    </row>
    <row r="31">
      <c r="A31" s="5" t="n">
        <v>30</v>
      </c>
      <c r="B31" s="5" t="inlineStr">
        <is>
          <t>12.03.2024</t>
        </is>
      </c>
      <c r="C31" s="5" t="inlineStr">
        <is>
          <t>Парковка</t>
        </is>
      </c>
      <c r="D31" s="6" t="inlineStr">
        <is>
          <t>Парковочное место (чек 312124)</t>
        </is>
      </c>
      <c r="E31" s="7" t="n">
        <v>412.5</v>
      </c>
    </row>
    <row r="32">
      <c r="A32" s="2" t="n">
        <v>31</v>
      </c>
      <c r="B32" s="2" t="inlineStr">
        <is>
          <t>17.03.2024</t>
        </is>
      </c>
      <c r="C32" s="2" t="inlineStr">
        <is>
          <t>Парковка</t>
        </is>
      </c>
      <c r="D32" s="3" t="inlineStr">
        <is>
          <t>Парковочное место (чек 1360)</t>
        </is>
      </c>
      <c r="E32" s="4" t="n">
        <v>95.06</v>
      </c>
    </row>
    <row r="33">
      <c r="A33" s="5" t="n">
        <v>32</v>
      </c>
      <c r="B33" s="5" t="inlineStr">
        <is>
          <t>12.07.2024</t>
        </is>
      </c>
      <c r="C33" s="5" t="inlineStr">
        <is>
          <t>Пожарная безопасность</t>
        </is>
      </c>
      <c r="D33" s="6" t="inlineStr">
        <is>
          <t>Обслуживание огнетушителей (Express Fire #18904)</t>
        </is>
      </c>
      <c r="E33" s="7" t="n">
        <v>155.15</v>
      </c>
    </row>
    <row r="34">
      <c r="A34" s="2" t="n">
        <v>33</v>
      </c>
      <c r="B34" s="2" t="inlineStr">
        <is>
          <t>29.08.2025</t>
        </is>
      </c>
      <c r="C34" s="2" t="inlineStr">
        <is>
          <t>Хозяйственные товары</t>
        </is>
      </c>
      <c r="D34" s="3" t="inlineStr">
        <is>
          <t>Мелочёвка Family Dollar</t>
        </is>
      </c>
      <c r="E34" s="4" t="n">
        <v>51.05</v>
      </c>
    </row>
    <row r="35">
      <c r="A35" s="5" t="n">
        <v>34</v>
      </c>
      <c r="B35" s="5" t="inlineStr">
        <is>
          <t>13.03.2025</t>
        </is>
      </c>
      <c r="C35" s="5" t="inlineStr">
        <is>
          <t>Чайная посуда</t>
        </is>
      </c>
      <c r="D35" s="6" t="inlineStr">
        <is>
          <t>Yixing Zisha teapots (PayPal)</t>
        </is>
      </c>
      <c r="E35" s="7" t="n">
        <v>4317.9</v>
      </c>
    </row>
    <row r="36">
      <c r="A36" s="2" t="n">
        <v>35</v>
      </c>
      <c r="B36" s="2" t="inlineStr">
        <is>
          <t>24.04.2025</t>
        </is>
      </c>
      <c r="C36" s="2" t="inlineStr">
        <is>
          <t>Чайная посуда</t>
        </is>
      </c>
      <c r="D36" s="3" t="inlineStr">
        <is>
          <t>Teabloom mugs + teapot (Order #Z3SE2SGZKG)</t>
        </is>
      </c>
      <c r="E36" s="4" t="n">
        <v>701</v>
      </c>
    </row>
    <row r="37">
      <c r="A37" s="5" t="n">
        <v>36</v>
      </c>
      <c r="B37" s="5" t="inlineStr">
        <is>
          <t>07.01.2026</t>
        </is>
      </c>
      <c r="C37" s="5" t="inlineStr">
        <is>
          <t>Чайная посуда</t>
        </is>
      </c>
      <c r="D37" s="6" t="inlineStr">
        <is>
          <t>Fellow Stagg EKG Pro kettles (Order #8PV82P7CXN)</t>
        </is>
      </c>
      <c r="E37" s="7" t="n">
        <v>657.8</v>
      </c>
    </row>
    <row r="38">
      <c r="A38" s="2" t="n">
        <v>37</v>
      </c>
      <c r="B38" s="2" t="inlineStr">
        <is>
          <t>07.01.2026</t>
        </is>
      </c>
      <c r="C38" s="2" t="inlineStr">
        <is>
          <t>Чайная посуда</t>
        </is>
      </c>
      <c r="D38" s="3" t="inlineStr">
        <is>
          <t>Lafeeca electric kettle (Order #V7WBHUNGY4)</t>
        </is>
      </c>
      <c r="E38" s="4" t="n">
        <v>300</v>
      </c>
    </row>
    <row r="39">
      <c r="A39" s="5" t="n">
        <v>38</v>
      </c>
      <c r="B39" s="5" t="inlineStr">
        <is>
          <t>02.05.2025</t>
        </is>
      </c>
      <c r="C39" s="5" t="inlineStr">
        <is>
          <t>Чайная посуда</t>
        </is>
      </c>
      <c r="D39" s="6" t="inlineStr">
        <is>
          <t>Lafeeca cold brew pitchers (Order #ZEHYW4R7GN)</t>
        </is>
      </c>
      <c r="E39" s="7" t="n">
        <v>216</v>
      </c>
    </row>
    <row r="40">
      <c r="A40" s="2" t="n">
        <v>39</v>
      </c>
      <c r="B40" s="2" t="inlineStr">
        <is>
          <t>24.04.2025</t>
        </is>
      </c>
      <c r="C40" s="2" t="inlineStr">
        <is>
          <t>Чайная посуда</t>
        </is>
      </c>
      <c r="D40" s="3" t="inlineStr">
        <is>
          <t>CasaWare glass teapots (Order #E8684MY4MD)</t>
        </is>
      </c>
      <c r="E40" s="4" t="n">
        <v>194.38</v>
      </c>
    </row>
    <row r="41">
      <c r="A41" s="5" t="n">
        <v>40</v>
      </c>
      <c r="B41" s="5" t="inlineStr">
        <is>
          <t>01.05.2025</t>
        </is>
      </c>
      <c r="C41" s="5" t="inlineStr">
        <is>
          <t>Чайная посуда</t>
        </is>
      </c>
      <c r="D41" s="6" t="inlineStr">
        <is>
          <t>VIVA Scandinavia tea set (Order #6DDUURRSVV)</t>
        </is>
      </c>
      <c r="E41" s="7" t="n">
        <v>368.98</v>
      </c>
    </row>
    <row r="42">
      <c r="A42" s="2" t="n">
        <v>41</v>
      </c>
      <c r="B42" s="2" t="inlineStr">
        <is>
          <t>09.05.2025</t>
        </is>
      </c>
      <c r="C42" s="2" t="inlineStr">
        <is>
          <t>Чайная посуда</t>
        </is>
      </c>
      <c r="D42" s="3" t="inlineStr">
        <is>
          <t>Gohobi tea set + trays (Order #XUSO959JQV)</t>
        </is>
      </c>
      <c r="E42" s="4" t="n">
        <v>384.73</v>
      </c>
    </row>
    <row r="43">
      <c r="A43" s="5" t="n">
        <v>42</v>
      </c>
      <c r="B43" s="5" t="inlineStr">
        <is>
          <t>12.05.2025</t>
        </is>
      </c>
      <c r="C43" s="5" t="inlineStr">
        <is>
          <t>Чайная посуда</t>
        </is>
      </c>
      <c r="D43" s="6" t="inlineStr">
        <is>
          <t>Ivore candle holders + mugs (Order #SDUAUUND8N)</t>
        </is>
      </c>
      <c r="E43" s="7" t="n">
        <v>164.7</v>
      </c>
    </row>
    <row r="44">
      <c r="A44" s="2" t="n">
        <v>43</v>
      </c>
      <c r="B44" s="2" t="inlineStr">
        <is>
          <t>04.04.2025</t>
        </is>
      </c>
      <c r="C44" s="2" t="inlineStr">
        <is>
          <t>Чайная посуда</t>
        </is>
      </c>
      <c r="D44" s="3" t="inlineStr">
        <is>
          <t>Gharyan stoneware cups (Order #54HTTFDGD5)</t>
        </is>
      </c>
      <c r="E44" s="4" t="n">
        <v>178.48</v>
      </c>
    </row>
    <row r="45">
      <c r="A45" s="5" t="n">
        <v>44</v>
      </c>
      <c r="B45" s="5" t="inlineStr">
        <is>
          <t>01.05.2025</t>
        </is>
      </c>
      <c r="C45" s="5" t="inlineStr">
        <is>
          <t>Чайная посуда</t>
        </is>
      </c>
      <c r="D45" s="6" t="inlineStr">
        <is>
          <t>Kiyo Home magnetic teapots (Order #8WTG796T99)</t>
        </is>
      </c>
      <c r="E45" s="7" t="n">
        <v>165</v>
      </c>
    </row>
    <row r="46">
      <c r="A46" s="2" t="n">
        <v>45</v>
      </c>
      <c r="B46" s="2" t="inlineStr">
        <is>
          <t>07.05.2025</t>
        </is>
      </c>
      <c r="C46" s="2" t="inlineStr">
        <is>
          <t>Чайная посуда</t>
        </is>
      </c>
      <c r="D46" s="3" t="inlineStr">
        <is>
          <t>everythingbamboo trays (Order #DBH5RV8JAY)</t>
        </is>
      </c>
      <c r="E46" s="4" t="n">
        <v>526.49</v>
      </c>
    </row>
    <row r="47">
      <c r="A47" s="5" t="n">
        <v>46</v>
      </c>
      <c r="B47" s="5" t="inlineStr">
        <is>
          <t>24.04.2025</t>
        </is>
      </c>
      <c r="C47" s="5" t="inlineStr">
        <is>
          <t>Чайная посуда</t>
        </is>
      </c>
      <c r="D47" s="6" t="inlineStr">
        <is>
          <t>HARIO glassware set (Order #MNSM3ND4YF)</t>
        </is>
      </c>
      <c r="E47" s="7" t="n">
        <v>486.76</v>
      </c>
    </row>
    <row r="48">
      <c r="A48" s="2" t="n">
        <v>47</v>
      </c>
      <c r="B48" s="2" t="inlineStr">
        <is>
          <t>07.05.2025</t>
        </is>
      </c>
      <c r="C48" s="2" t="inlineStr">
        <is>
          <t>Чайная посуда</t>
        </is>
      </c>
      <c r="D48" s="3" t="inlineStr">
        <is>
          <t>Artsy Em cups (Order #RE9KZEAMJ3)</t>
        </is>
      </c>
      <c r="E48" s="4" t="n">
        <v>92.97</v>
      </c>
    </row>
    <row r="49">
      <c r="A49" s="5" t="n">
        <v>48</v>
      </c>
      <c r="B49" s="5" t="inlineStr">
        <is>
          <t>26.04.2025</t>
        </is>
      </c>
      <c r="C49" s="5" t="inlineStr">
        <is>
          <t>Чайная посуда</t>
        </is>
      </c>
      <c r="D49" s="6" t="inlineStr">
        <is>
          <t>Artsy Em mini cups (Order #QQFJZPYXQA)</t>
        </is>
      </c>
      <c r="E49" s="7" t="n">
        <v>48</v>
      </c>
    </row>
    <row r="50">
      <c r="A50" s="2" t="n">
        <v>49</v>
      </c>
      <c r="B50" s="2" t="inlineStr">
        <is>
          <t>21.05.2025</t>
        </is>
      </c>
      <c r="C50" s="2" t="inlineStr">
        <is>
          <t>Чайная посуда</t>
        </is>
      </c>
      <c r="D50" s="3" t="inlineStr">
        <is>
          <t>Deep Black espresso cups (Order #NRTU6ZC2W4)</t>
        </is>
      </c>
      <c r="E50" s="4" t="n">
        <v>49.86</v>
      </c>
    </row>
    <row r="51">
      <c r="A51" s="5" t="n">
        <v>50</v>
      </c>
      <c r="B51" s="5" t="inlineStr">
        <is>
          <t>24.04.2025</t>
        </is>
      </c>
      <c r="C51" s="5" t="inlineStr">
        <is>
          <t>Чайная посуда</t>
        </is>
      </c>
      <c r="D51" s="6" t="inlineStr">
        <is>
          <t>Deep Black cups + vase (Order #RRGEJ3XMGP)</t>
        </is>
      </c>
      <c r="E51" s="7" t="n">
        <v>91.67</v>
      </c>
    </row>
    <row r="52">
      <c r="A52" s="2" t="n">
        <v>51</v>
      </c>
      <c r="B52" s="2" t="inlineStr">
        <is>
          <t>15.05.2025</t>
        </is>
      </c>
      <c r="C52" s="2" t="inlineStr">
        <is>
          <t>Чай (товар для продажи)</t>
        </is>
      </c>
      <c r="D52" s="3" t="inlineStr">
        <is>
          <t>15 видов тайваньского чая + доставка DHL (Yama Dai Tea, YMT/0089/25)</t>
        </is>
      </c>
      <c r="E52" s="4" t="n">
        <v>1306.98</v>
      </c>
    </row>
    <row r="53">
      <c r="D53" s="8" t="inlineStr">
        <is>
          <t>ИТОГО:</t>
        </is>
      </c>
      <c r="E53" s="9">
        <f>SUM(E2:E52)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>
      <c r="A1" s="1" t="inlineStr">
        <is>
          <t>Категория</t>
        </is>
      </c>
      <c r="B1" s="1" t="inlineStr">
        <is>
          <t>Сумма, $</t>
        </is>
      </c>
      <c r="C1" s="1" t="inlineStr">
        <is>
          <t>Доля, %</t>
        </is>
      </c>
    </row>
    <row r="2">
      <c r="A2" s="10" t="inlineStr">
        <is>
          <t>Аренда</t>
        </is>
      </c>
      <c r="B2" s="11">
        <f>SUMIF(Реестр!C:C,A2,Реестр!E:E)</f>
        <v/>
      </c>
      <c r="C2" s="12">
        <f>B2/$B$15</f>
        <v/>
      </c>
    </row>
    <row r="3">
      <c r="A3" s="13" t="inlineStr">
        <is>
          <t>Электричество (FPL)</t>
        </is>
      </c>
      <c r="B3" s="14">
        <f>SUMIF(Реестр!C:C,A3,Реестр!E:E)</f>
        <v/>
      </c>
      <c r="C3" s="15">
        <f>B3/$B$15</f>
        <v/>
      </c>
    </row>
    <row r="4">
      <c r="A4" s="10" t="inlineStr">
        <is>
          <t>Мебель и оборудование</t>
        </is>
      </c>
      <c r="B4" s="11">
        <f>SUMIF(Реестр!C:C,A4,Реестр!E:E)</f>
        <v/>
      </c>
      <c r="C4" s="12">
        <f>B4/$B$15</f>
        <v/>
      </c>
    </row>
    <row r="5">
      <c r="A5" s="13" t="inlineStr">
        <is>
          <t>Оборудование</t>
        </is>
      </c>
      <c r="B5" s="14">
        <f>SUMIF(Реестр!C:C,A5,Реестр!E:E)</f>
        <v/>
      </c>
      <c r="C5" s="15">
        <f>B5/$B$15</f>
        <v/>
      </c>
    </row>
    <row r="6">
      <c r="A6" s="10" t="inlineStr">
        <is>
          <t>Освещение</t>
        </is>
      </c>
      <c r="B6" s="11">
        <f>SUMIF(Реестр!C:C,A6,Реестр!E:E)</f>
        <v/>
      </c>
      <c r="C6" s="12">
        <f>B6/$B$15</f>
        <v/>
      </c>
    </row>
    <row r="7">
      <c r="A7" s="13" t="inlineStr">
        <is>
          <t>Ремонт и отделка</t>
        </is>
      </c>
      <c r="B7" s="14">
        <f>SUMIF(Реестр!C:C,A7,Реестр!E:E)</f>
        <v/>
      </c>
      <c r="C7" s="15">
        <f>B7/$B$15</f>
        <v/>
      </c>
    </row>
    <row r="8">
      <c r="A8" s="10" t="inlineStr">
        <is>
          <t>Лицензии и разрешения</t>
        </is>
      </c>
      <c r="B8" s="11">
        <f>SUMIF(Реестр!C:C,A8,Реестр!E:E)</f>
        <v/>
      </c>
      <c r="C8" s="12">
        <f>B8/$B$15</f>
        <v/>
      </c>
    </row>
    <row r="9">
      <c r="A9" s="13" t="inlineStr">
        <is>
          <t>Брендинг и маркетинг</t>
        </is>
      </c>
      <c r="B9" s="14">
        <f>SUMIF(Реестр!C:C,A9,Реестр!E:E)</f>
        <v/>
      </c>
      <c r="C9" s="15">
        <f>B9/$B$15</f>
        <v/>
      </c>
    </row>
    <row r="10">
      <c r="A10" s="10" t="inlineStr">
        <is>
          <t>Парковка</t>
        </is>
      </c>
      <c r="B10" s="11">
        <f>SUMIF(Реестр!C:C,A10,Реестр!E:E)</f>
        <v/>
      </c>
      <c r="C10" s="12">
        <f>B10/$B$15</f>
        <v/>
      </c>
    </row>
    <row r="11">
      <c r="A11" s="13" t="inlineStr">
        <is>
          <t>Пожарная безопасность</t>
        </is>
      </c>
      <c r="B11" s="14">
        <f>SUMIF(Реестр!C:C,A11,Реестр!E:E)</f>
        <v/>
      </c>
      <c r="C11" s="15">
        <f>B11/$B$15</f>
        <v/>
      </c>
    </row>
    <row r="12">
      <c r="A12" s="10" t="inlineStr">
        <is>
          <t>Хозяйственные товары</t>
        </is>
      </c>
      <c r="B12" s="11">
        <f>SUMIF(Реестр!C:C,A12,Реестр!E:E)</f>
        <v/>
      </c>
      <c r="C12" s="12">
        <f>B12/$B$15</f>
        <v/>
      </c>
    </row>
    <row r="13">
      <c r="A13" s="13" t="inlineStr">
        <is>
          <t>Чайная посуда</t>
        </is>
      </c>
      <c r="B13" s="14">
        <f>SUMIF(Реестр!C:C,A13,Реестр!E:E)</f>
        <v/>
      </c>
      <c r="C13" s="15">
        <f>B13/$B$15</f>
        <v/>
      </c>
    </row>
    <row r="14">
      <c r="A14" s="10" t="inlineStr">
        <is>
          <t>Чай (товар для продажи)</t>
        </is>
      </c>
      <c r="B14" s="11">
        <f>SUMIF(Реестр!C:C,A14,Реестр!E:E)</f>
        <v/>
      </c>
      <c r="C14" s="12">
        <f>B14/$B$15</f>
        <v/>
      </c>
    </row>
    <row r="15">
      <c r="A15" s="8" t="inlineStr">
        <is>
          <t>ИТОГО:</t>
        </is>
      </c>
      <c r="B15" s="16">
        <f>SUM(B2:B14)</f>
        <v/>
      </c>
      <c r="C15" s="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2026-06-26T03:46:04Z</dcterms:created>
  <dcterms:modified xsi:type="dcterms:W3CDTF">2026-06-26T03:46:04Z</dcterms:modified>
</cp:coreProperties>
</file>